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schlatt/Documents/Eric/"/>
    </mc:Choice>
  </mc:AlternateContent>
  <xr:revisionPtr revIDLastSave="0" documentId="13_ncr:1_{2F9FD668-678A-D646-8CD6-6089D2D010AD}" xr6:coauthVersionLast="47" xr6:coauthVersionMax="47" xr10:uidLastSave="{00000000-0000-0000-0000-000000000000}"/>
  <bookViews>
    <workbookView xWindow="0" yWindow="660" windowWidth="21720" windowHeight="15740" tabRatio="500" xr2:uid="{00000000-000D-0000-FFFF-FFFF00000000}"/>
  </bookViews>
  <sheets>
    <sheet name="Materialliste kompakt" sheetId="2" r:id="rId1"/>
    <sheet name="Materialliste" sheetId="1" r:id="rId2"/>
    <sheet name="Vorgeschlagene Komponenten" sheetId="3" r:id="rId3"/>
    <sheet name="Vollständigkeitspruefung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H24" i="1"/>
</calcChain>
</file>

<file path=xl/sharedStrings.xml><?xml version="1.0" encoding="utf-8"?>
<sst xmlns="http://schemas.openxmlformats.org/spreadsheetml/2006/main" count="284" uniqueCount="160">
  <si>
    <t>Kostenzusammenstellung Drohne – Maturaarbeit Eric</t>
  </si>
  <si>
    <t>Erstellt aus Bestell-/Zahlungsbestätigungen und Original-Rechnungen (Digitec/Galaxus, Helifree). Stand: 06.09.2026.</t>
  </si>
  <si>
    <t>Datum</t>
  </si>
  <si>
    <t>Kategorie</t>
  </si>
  <si>
    <t>Komponente</t>
  </si>
  <si>
    <t>Lieferant / Shop</t>
  </si>
  <si>
    <t>Menge</t>
  </si>
  <si>
    <t>Preis</t>
  </si>
  <si>
    <t>Währung</t>
  </si>
  <si>
    <t>Preis (CHF)</t>
  </si>
  <si>
    <t>Prüfen?</t>
  </si>
  <si>
    <t>Bemerkung</t>
  </si>
  <si>
    <t>20.05.2026</t>
  </si>
  <si>
    <t>Motor</t>
  </si>
  <si>
    <t>EMAX ECO III 2207 1700KV Brushless-Motor, 4x (Set)</t>
  </si>
  <si>
    <t>AliExpress</t>
  </si>
  <si>
    <t>CHF</t>
  </si>
  <si>
    <t>Nein</t>
  </si>
  <si>
    <t>Teil der AliExpress-Sammelbestellung, PayPal-Zahlung 20.05.2026. Christian bestätigt: 4 Motoren (nicht 1) – PayPal-Beleg zeigte "Menge 1" für 1 Set à 4 Stück.</t>
  </si>
  <si>
    <t>Flugcontroller/ESC</t>
  </si>
  <si>
    <t>SpeedyBee F405 V5 Stack (Flugcontroller F4 STM32F405 + 4-in-1 ESC BLS 50A, 30x30, Bluetooth)</t>
  </si>
  <si>
    <t>Teil der AliExpress-Sammelbestellung, PayPal-Zahlung 20.05.2026.</t>
  </si>
  <si>
    <t>GPS</t>
  </si>
  <si>
    <t>GEP-M10 GPS-Modul</t>
  </si>
  <si>
    <t>Rahmen</t>
  </si>
  <si>
    <t>TBS Source One V6, 5 Zoll (Rahmen-Kit)</t>
  </si>
  <si>
    <t>pureflight.ch / Transtec Sàrl (Best. ZHFNDPBAW)</t>
  </si>
  <si>
    <t>Anteil an Sammelbestellung ZHFNDPBAW (Gesamttotal 52.40 CHF für 3 Artikel, TWINT): 33.90/43.40*52.40=40.93 CHF.</t>
  </si>
  <si>
    <t>Propeller</t>
  </si>
  <si>
    <t>HQ MCK PROP 5.1 Zoll, gelb, 2x</t>
  </si>
  <si>
    <t>Anteil an Sammelbestellung ZHFNDPBAW: 6.60/43.40*52.40=7.97 CHF.</t>
  </si>
  <si>
    <t>Long Range 5126-2-1.5mm Props, 1x</t>
  </si>
  <si>
    <t>Anteil an Sammelbestellung ZHFNDPBAW: 2.90/43.40*52.40=3.50 CHF.</t>
  </si>
  <si>
    <t>22.05.2026</t>
  </si>
  <si>
    <t>Akku</t>
  </si>
  <si>
    <t>Spektrum LiPo Pack 2200mAh 4S 14.8V Smart G2 LiPo 100C IC3 (Flugakku)</t>
  </si>
  <si>
    <t>Digitec Galaxus, Auftrag 188969065</t>
  </si>
  <si>
    <t>Rechnung/Auftragsbestätigung 188969065 vom 22.05.2026: 46.90 CHF inkl. MwSt. (Artikel-Nr. 17531280).</t>
  </si>
  <si>
    <t>Onboard Compute</t>
  </si>
  <si>
    <t>Raspberry Pi Zero 2 W - Budget Kit</t>
  </si>
  <si>
    <t>Rechnung/Auftragsbestätigung 188969065 vom 22.05.2026: 47.00 CHF inkl. MwSt. (Artikel-Nr. 31960502). Kein Flugkomponente, sondern für Erics Zusatzidee (Hotspot/Captive-Portal zur GPS-Anzeige am Handy).</t>
  </si>
  <si>
    <t>04.06.2026</t>
  </si>
  <si>
    <t>Verkabelung</t>
  </si>
  <si>
    <t>Silikondraht 1m, 18AWG, rot + schwarz, 2x</t>
  </si>
  <si>
    <t>FPVracing.ch (Best. QZYRJOIXM)</t>
  </si>
  <si>
    <t>Preis inkl. Versand (Artikel 10.60 + Versand 5.00, MwSt. inbegriffen).</t>
  </si>
  <si>
    <t>Jumper-Kabel-Set (ca. 40 Stk., female–female)</t>
  </si>
  <si>
    <t>Pi-Shop.ch (Best. 100103666)</t>
  </si>
  <si>
    <t>Preis inkl. Versand (Artikel 9.90 + Versand 7.90).</t>
  </si>
  <si>
    <t>Ladegerät</t>
  </si>
  <si>
    <t>SkyRC e455 AC-Ladegerät, NiMH 6-8 / LiPo 2-4S, 50W</t>
  </si>
  <si>
    <t>Digitec Galaxus, Auftrag 190687139</t>
  </si>
  <si>
    <t>Rechnung/Auftragsbestätigung 190687139 vom 04.06.2026: 29.90 CHF inkl. MwSt. (Artikel-Nr. 14375056).</t>
  </si>
  <si>
    <t>SIGN 18650 Akku, 3000mAh, 2x</t>
  </si>
  <si>
    <t>Rechnung/Auftragsbestätigung 190687139 vom 04.06.2026: 22.60 CHF inkl. MwSt. für 2 Stk. (Artikel-Nr. 23547846). Entspricht den "18650 Batterien (2x)" aus Erics Liste vom 01.06. – vermutlich für den Sender.</t>
  </si>
  <si>
    <t>Sender / Fernsteuerung</t>
  </si>
  <si>
    <t>RadioMaster Pocket Crush Radio Controller ELRS 2.4GHz (Farbe: Weiss)</t>
  </si>
  <si>
    <t>Helifree Sàrl (Rechnung #FA018488, Best.-Ref. UTHCVSPZF)</t>
  </si>
  <si>
    <t>Rechnung FA018488 vom 04.06.2026: 64.66 CHF + Versand 9.71 CHF + Steuer 6.03 CHF = 80.40 CHF total. Bezahlt, Versand Postpac Priority.</t>
  </si>
  <si>
    <t>05.06.2026</t>
  </si>
  <si>
    <t>Empfänger</t>
  </si>
  <si>
    <t>RadioMaster RP1 V2 ELRS Nano-Empfänger</t>
  </si>
  <si>
    <t>FPVFrame.ch (Best. #36718; PayPal-Abrechnung zeigt Händlernamen "House of Drones AG F...")</t>
  </si>
  <si>
    <t>FPVFrame.ch-Bestellbestätigung #36718 (05.06.2026): 22.00 CHF + Versand 5.50 CHF + Handling Fee 0.90 CHF = 28.40 CHF, bezahlt per PayPal.</t>
  </si>
  <si>
    <t>16.06.2026</t>
  </si>
  <si>
    <t>Ladegerät / Stecker</t>
  </si>
  <si>
    <t>Spektrum USB-Ladegerät S120 USB-C Smart 20W + EP Kurzadapter EC3 zu XT60 (inkl. Versand)</t>
  </si>
  <si>
    <t>Brack.ch (Auftrag 48519522 / Rechnung 47810070)</t>
  </si>
  <si>
    <t>1 + 1</t>
  </si>
  <si>
    <t>Bestätigt über Brack-Bestellhistorie: Ladegerät CHF 19.10 + Adapter CHF 11.60 + Versand/Rest CHF 7.35 = CHF 38.05.</t>
  </si>
  <si>
    <t>26.08.2026</t>
  </si>
  <si>
    <t>Walksnail WS-M181 GPS</t>
  </si>
  <si>
    <t>DroneFactory.ch (Best. #98414)</t>
  </si>
  <si>
    <t>Preis inkl. Versand &amp; Zahlungsgebühr (Artikel 18.90 + Versand 3.80 + Apple-Pay-Gebühr 0.96). Reines GPS-Zubehörmodul – die Drohne hat keine Video-/FPV-Ausrüstung.</t>
  </si>
  <si>
    <t>27.08.2026</t>
  </si>
  <si>
    <t>Spektrum Ladegerät SMART G2 S100, 1x100W USB-C (inkl. Versand)</t>
  </si>
  <si>
    <t>Brack.ch (Auftrag 49831249 / Rechnung 49132527)</t>
  </si>
  <si>
    <t>Bestätigt über Brack-Bestellhistorie: Ladegerät CHF 27.70 + Versand (Teillieferungsgebühr) CHF 5.90 = CHF 33.60</t>
  </si>
  <si>
    <t>SUMME</t>
  </si>
  <si>
    <t>Alle Positionen sind jetzt mit Original-Rechnungen belegt (Digitec/Galaxus-Auftragsbestätigungen 188969065 + 190687139, Helifree-Rechnung FA018488, Brack-Bestellhistorie, AliExpress/pureflight.ch/FPVracing.ch/Pi-Shop.ch/FPVFrame.ch/DroneFactory.ch-Bestellbestätigungen). Kein Posten mehr mit unbekanntem Preis.</t>
  </si>
  <si>
    <t>Ausgeschlossen (kein Drohnenbezug): 2x Davidoff Cool Water Parfum 125ml (61.40 CHF, Teil von Digitec-Auftrag 188969065, privat); Brack Auftrag 49452805 vom 08.08.2026 (316.90 CHF, reine Privatbestellung); Comptoir des Pros/Mabex vom 30.07.2026 (45.20 CHF, Türschloss-Mechanismus).</t>
  </si>
  <si>
    <t>Lieferant</t>
  </si>
  <si>
    <t>pureflight.ch</t>
  </si>
  <si>
    <t>Digitec Galaxus</t>
  </si>
  <si>
    <t>FPVracing.ch</t>
  </si>
  <si>
    <t>Pi-Shop.ch</t>
  </si>
  <si>
    <t>Helifree Sàrl</t>
  </si>
  <si>
    <t>FPVFrame.ch</t>
  </si>
  <si>
    <t>Brack.ch</t>
  </si>
  <si>
    <t>DroneFactory.ch</t>
  </si>
  <si>
    <t>Von Eric vorgeschlagene Komponenten ohne gefundene Bestellbestätigung</t>
  </si>
  <si>
    <t>Diese Artikel wurden in E-Mails verlinkt/erwähnt, aber es liess sich keine Bestell- oder Zahlungsbestätigung dazu finden.</t>
  </si>
  <si>
    <t>Datum (E-Mail)</t>
  </si>
  <si>
    <t>Vorgeschlagener Shop</t>
  </si>
  <si>
    <t>02.05.2026</t>
  </si>
  <si>
    <t>Pixhawk PX4 Pro Flugcontroller (32-Bit, Autopilot)</t>
  </si>
  <si>
    <t>Fruugo.ch</t>
  </si>
  <si>
    <t>Flugcontroller</t>
  </si>
  <si>
    <t>Von Eric verlinkt; kein Kauf gefunden</t>
  </si>
  <si>
    <t>SunnySky X2814 Brushless-Motoren</t>
  </si>
  <si>
    <t>sunnyskyusa.com / AliExpress</t>
  </si>
  <si>
    <t>Vollständigkeitsprüfung: Was braucht es für die flugfähige Drohne (ohne Video)?</t>
  </si>
  <si>
    <t>Abgleich der bestätigten Käufe (Blatt "Materialliste") gegen eine Stückliste für einen 5-Zoll-Quadcopter OHNE FPV-Video (GPS-/Telemetrie-Fokus statt Live-Bild). Stand: 06.09.2026.</t>
  </si>
  <si>
    <t>Benötigt (Standard-Build)</t>
  </si>
  <si>
    <t>Status</t>
  </si>
  <si>
    <t>Vorhanden / Bemerkung</t>
  </si>
  <si>
    <t>Rahmen (Frame)</t>
  </si>
  <si>
    <t>1x 5-Zoll-Rahmen-Kit</t>
  </si>
  <si>
    <t>OK</t>
  </si>
  <si>
    <t>TBS Source One V6 – bestätigt via pureflight.ch/Transtec Sàrl, Best. ZHFNDPBAW, 20.05.2026 (40.93 CHF anteilig).</t>
  </si>
  <si>
    <t>Flugcontroller + ESC</t>
  </si>
  <si>
    <t>1x FC/ESC-Stack</t>
  </si>
  <si>
    <t>SpeedyBee F405 V5 Stack – AliExpress, 20.05.2026 (89.81 CHF).</t>
  </si>
  <si>
    <t>Motoren</t>
  </si>
  <si>
    <t>4x Brushless-Motor</t>
  </si>
  <si>
    <t>Christian bestätigt: 4 Motoren (EMAX ECO III 2207) bei AliExpress bestellt – der PayPal-Beleg zeigte nur "Menge 1", war aber offenbar 1 Set à 4 Stück.</t>
  </si>
  <si>
    <t>mind. 4x (+Ersatz)</t>
  </si>
  <si>
    <t>HQ MCK Prop gelb (2x) + Long-Range-Props (1x) – bestätigt via pureflight.ch, gleiche Bestellung ZHFNDPBAW (11.47 CHF anteilig zusammen).</t>
  </si>
  <si>
    <t>Flugakku (LiPo)</t>
  </si>
  <si>
    <t>1x LiPo 4S (z.B. 2200mAh)</t>
  </si>
  <si>
    <t>Spektrum LiPo Pack 2200mAh 4S 14.8V Smart G2 – Digitec Auftrag 188969065 vom 22.05.2026, 46.90 CHF (Artikel-Nr. 17531280).</t>
  </si>
  <si>
    <t>1x Balance-/Smart-Charger</t>
  </si>
  <si>
    <t>Spektrum S120 (Brack, 38.05 CHF) + Spektrum S100 (Brack, 33.60 CHF) + SkyRC e455 (Digitec Auftrag 190687139, 29.90 CHF) – 3 Ladegeräte insgesamt bestätigt.</t>
  </si>
  <si>
    <t>Empfänger (RX)</t>
  </si>
  <si>
    <t>1x ELRS-Empfänger</t>
  </si>
  <si>
    <t>RadioMaster RP1 V2 ELRS Nano – FPVFrame.ch Best. #36718, 05.06.2026 (28.40 CHF); PayPal-Abrechnung zeigte irrtümlich "House of Drones AG" als Händlernamen.</t>
  </si>
  <si>
    <t>Sender / Fernsteuerung (TX)</t>
  </si>
  <si>
    <t>1x ELRS-kompatible Handfernsteuerung</t>
  </si>
  <si>
    <t>RadioMaster Pocket Crush ELRS 2.4GHz (weiss) – Rechnung FA018488 von Helifree Sàrl, 04.06.2026, 80.40 CHF total (64.66 CHF Produkt + 9.71 CHF Versand + 6.03 CHF Steuer).</t>
  </si>
  <si>
    <t>GPS-Modul</t>
  </si>
  <si>
    <t>1x GPS (für Position/RTH)</t>
  </si>
  <si>
    <t>GEP-M10 – AliExpress, 20.05.2026 (21.36 CHF).</t>
  </si>
  <si>
    <t>FPV-Kamera</t>
  </si>
  <si>
    <t>nicht Teil des Projekts</t>
  </si>
  <si>
    <t>N/A</t>
  </si>
  <si>
    <t>Christian bestätigt: kein Video-Feed vorgesehen, daher keine Kamera nötig.</t>
  </si>
  <si>
    <t>Video-Sender (VTX)</t>
  </si>
  <si>
    <t>Christian bestätigt: die Drohne hat keine Video-/FPV-Ausrüstung. "Walksnail WS-M181 GPS" ist nur ein GPS-Zubehörmodul, kein VTX.</t>
  </si>
  <si>
    <t>FPV-Brille / Monitor</t>
  </si>
  <si>
    <t>Christian bestätigt: kein Video-Feed vorgesehen, daher keine Brille/Monitor nötig.</t>
  </si>
  <si>
    <t>Verkabelung / Stecker</t>
  </si>
  <si>
    <t>Silikonkabel, Stecker, Adapter</t>
  </si>
  <si>
    <t>Silikondraht (FPVracing, 04.06.) + EC3-XT60-Adapter (Brack, 16.06.) bestätigt.</t>
  </si>
  <si>
    <t>Antennen (RX/VTX)</t>
  </si>
  <si>
    <t>RX-Antenne (kein VTX nötig)</t>
  </si>
  <si>
    <t>Kein VTX vorgesehen (kein Video-Feed) – RadioMaster RP1 V2 ELRS Nano-Empfänger hat eine integrierte Antenne.</t>
  </si>
  <si>
    <t>Akku-Klettband / Montage</t>
  </si>
  <si>
    <t>nicht benötigt</t>
  </si>
  <si>
    <t>Christian bestätigt: wird nicht benötigt.</t>
  </si>
  <si>
    <t>Raspberry Pi Zero 2 W (Zusatzprojekt)</t>
  </si>
  <si>
    <t>optional, für Telemetrie/GPS-Anzeige</t>
  </si>
  <si>
    <t>Digitec Auftrag 188969065 vom 22.05.2026, 47.00 CHF (Artikel-Nr. 31960502). Für Hotspot/Captive-Portal, damit man am Handy die GPS-Koordinaten sieht – kein Flugkomponente.</t>
  </si>
  <si>
    <t>Sender-Akku (18650, 2x)</t>
  </si>
  <si>
    <t>meist im TX enthalten, sonst separat</t>
  </si>
  <si>
    <t>SIGN 18650 Akku, 2x 3000mAh – Digitec Auftrag 190687139 vom 04.06.2026, 22.60 CHF. Entspricht exakt Erics Wunsch "18650 Batterien (2x)".</t>
  </si>
  <si>
    <t>Fazit</t>
  </si>
  <si>
    <t>Die Liste ist vollständig und alle Preise sind mit Original-Rechnungen belegt: Rahmen, Propeller, Flugakku, 4 Motoren, Sender (Helifree), Empfänger, 3 Ladegeräte und die Sender-Akkus (SIGN 18650) sind bestätigt. Kamera/VTX/Brille sind kein Thema, da kein Video-Feed geplant ist, und ein Akku-Klettband wird laut Christian nicht benötigt. Gesamtkosten: CHF 608.87.</t>
  </si>
  <si>
    <t>Spektrum USB-Ladegerät S120 USB-C Smart 20W + EP Kurzadapter EC3 zu XT60</t>
  </si>
  <si>
    <t>Spektrum Ladegerät SMART G2 S100, 1x100W USB-C</t>
  </si>
  <si>
    <t>EMAX ECO III 2207 1700KV Brushless-Motor, 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</si>
</sst>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555555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0" fillId="0" borderId="0" xfId="0" applyAlignment="1">
      <alignment vertical="top" wrapText="1"/>
    </xf>
    <xf numFmtId="0" fontId="6" fillId="0" borderId="0" xfId="0" applyFont="1"/>
    <xf numFmtId="0" fontId="0" fillId="3" borderId="0" xfId="0" applyFill="1"/>
    <xf numFmtId="0" fontId="0" fillId="4" borderId="0" xfId="0" applyFill="1"/>
    <xf numFmtId="0" fontId="5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2CC"/>
      <rgbColor rgb="FFECEC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abSelected="1" workbookViewId="0">
      <selection activeCell="A22" sqref="A22"/>
    </sheetView>
  </sheetViews>
  <sheetFormatPr baseColWidth="10" defaultColWidth="8.83203125" defaultRowHeight="15" x14ac:dyDescent="0.2"/>
  <cols>
    <col min="1" max="1" width="16.33203125" customWidth="1"/>
    <col min="2" max="2" width="37.83203125" customWidth="1"/>
    <col min="3" max="3" width="13.83203125" bestFit="1" customWidth="1"/>
    <col min="4" max="4" width="9.33203125" bestFit="1" customWidth="1"/>
  </cols>
  <sheetData>
    <row r="1" spans="1:4" x14ac:dyDescent="0.2">
      <c r="A1" s="5" t="s">
        <v>3</v>
      </c>
      <c r="B1" s="5" t="s">
        <v>4</v>
      </c>
      <c r="C1" s="5" t="s">
        <v>81</v>
      </c>
      <c r="D1" s="5" t="s">
        <v>9</v>
      </c>
    </row>
    <row r="2" spans="1:4" ht="32" x14ac:dyDescent="0.2">
      <c r="A2" s="4" t="s">
        <v>13</v>
      </c>
      <c r="B2" s="4" t="s">
        <v>159</v>
      </c>
      <c r="C2" s="13" t="s">
        <v>15</v>
      </c>
      <c r="D2" s="14">
        <v>61.39</v>
      </c>
    </row>
    <row r="3" spans="1:4" ht="48" x14ac:dyDescent="0.2">
      <c r="A3" s="4" t="s">
        <v>19</v>
      </c>
      <c r="B3" s="4" t="s">
        <v>20</v>
      </c>
      <c r="C3" s="13" t="s">
        <v>15</v>
      </c>
      <c r="D3" s="14">
        <v>89.81</v>
      </c>
    </row>
    <row r="4" spans="1:4" ht="16" x14ac:dyDescent="0.2">
      <c r="A4" s="4" t="s">
        <v>22</v>
      </c>
      <c r="B4" s="4" t="s">
        <v>23</v>
      </c>
      <c r="C4" s="13" t="s">
        <v>15</v>
      </c>
      <c r="D4" s="14">
        <v>21.36</v>
      </c>
    </row>
    <row r="5" spans="1:4" ht="16" x14ac:dyDescent="0.2">
      <c r="A5" s="4" t="s">
        <v>24</v>
      </c>
      <c r="B5" s="4" t="s">
        <v>25</v>
      </c>
      <c r="C5" s="13" t="s">
        <v>82</v>
      </c>
      <c r="D5" s="14">
        <v>40.93</v>
      </c>
    </row>
    <row r="6" spans="1:4" ht="16" x14ac:dyDescent="0.2">
      <c r="A6" s="4" t="s">
        <v>28</v>
      </c>
      <c r="B6" s="4" t="s">
        <v>29</v>
      </c>
      <c r="C6" s="13" t="s">
        <v>82</v>
      </c>
      <c r="D6" s="14">
        <v>7.97</v>
      </c>
    </row>
    <row r="7" spans="1:4" ht="16" x14ac:dyDescent="0.2">
      <c r="A7" s="4" t="s">
        <v>28</v>
      </c>
      <c r="B7" s="4" t="s">
        <v>31</v>
      </c>
      <c r="C7" s="13" t="s">
        <v>82</v>
      </c>
      <c r="D7" s="14">
        <v>3.5</v>
      </c>
    </row>
    <row r="8" spans="1:4" ht="32" x14ac:dyDescent="0.2">
      <c r="A8" s="4" t="s">
        <v>34</v>
      </c>
      <c r="B8" s="4" t="s">
        <v>35</v>
      </c>
      <c r="C8" s="13" t="s">
        <v>83</v>
      </c>
      <c r="D8" s="14">
        <v>46.9</v>
      </c>
    </row>
    <row r="9" spans="1:4" ht="16" x14ac:dyDescent="0.2">
      <c r="A9" s="4" t="s">
        <v>38</v>
      </c>
      <c r="B9" s="4" t="s">
        <v>39</v>
      </c>
      <c r="C9" s="13" t="s">
        <v>83</v>
      </c>
      <c r="D9" s="14">
        <v>47</v>
      </c>
    </row>
    <row r="10" spans="1:4" ht="16" x14ac:dyDescent="0.2">
      <c r="A10" s="4" t="s">
        <v>42</v>
      </c>
      <c r="B10" s="4" t="s">
        <v>43</v>
      </c>
      <c r="C10" s="13" t="s">
        <v>84</v>
      </c>
      <c r="D10" s="14">
        <v>15.6</v>
      </c>
    </row>
    <row r="11" spans="1:4" ht="16" x14ac:dyDescent="0.2">
      <c r="A11" s="4" t="s">
        <v>42</v>
      </c>
      <c r="B11" s="4" t="s">
        <v>46</v>
      </c>
      <c r="C11" s="13" t="s">
        <v>85</v>
      </c>
      <c r="D11" s="14">
        <v>17.8</v>
      </c>
    </row>
    <row r="12" spans="1:4" ht="32" x14ac:dyDescent="0.2">
      <c r="A12" s="4" t="s">
        <v>49</v>
      </c>
      <c r="B12" s="4" t="s">
        <v>50</v>
      </c>
      <c r="C12" s="13" t="s">
        <v>83</v>
      </c>
      <c r="D12" s="14">
        <v>29.9</v>
      </c>
    </row>
    <row r="13" spans="1:4" ht="16" x14ac:dyDescent="0.2">
      <c r="A13" s="4" t="s">
        <v>34</v>
      </c>
      <c r="B13" s="4" t="s">
        <v>53</v>
      </c>
      <c r="C13" s="13" t="s">
        <v>83</v>
      </c>
      <c r="D13" s="14">
        <v>22.6</v>
      </c>
    </row>
    <row r="14" spans="1:4" ht="32" x14ac:dyDescent="0.2">
      <c r="A14" s="4" t="s">
        <v>55</v>
      </c>
      <c r="B14" s="4" t="s">
        <v>56</v>
      </c>
      <c r="C14" s="13" t="s">
        <v>86</v>
      </c>
      <c r="D14" s="14">
        <v>80.400000000000006</v>
      </c>
    </row>
    <row r="15" spans="1:4" ht="16" x14ac:dyDescent="0.2">
      <c r="A15" s="4" t="s">
        <v>60</v>
      </c>
      <c r="B15" s="4" t="s">
        <v>61</v>
      </c>
      <c r="C15" s="13" t="s">
        <v>87</v>
      </c>
      <c r="D15" s="14">
        <v>28.4</v>
      </c>
    </row>
    <row r="16" spans="1:4" ht="32" x14ac:dyDescent="0.2">
      <c r="A16" s="4" t="s">
        <v>65</v>
      </c>
      <c r="B16" s="4" t="s">
        <v>157</v>
      </c>
      <c r="C16" s="13" t="s">
        <v>88</v>
      </c>
      <c r="D16" s="14">
        <v>38.049999999999997</v>
      </c>
    </row>
    <row r="17" spans="1:4" ht="16" x14ac:dyDescent="0.2">
      <c r="A17" s="4" t="s">
        <v>22</v>
      </c>
      <c r="B17" s="4" t="s">
        <v>71</v>
      </c>
      <c r="C17" s="13" t="s">
        <v>89</v>
      </c>
      <c r="D17" s="14">
        <v>23.66</v>
      </c>
    </row>
    <row r="18" spans="1:4" ht="32" x14ac:dyDescent="0.2">
      <c r="A18" s="4" t="s">
        <v>49</v>
      </c>
      <c r="B18" s="4" t="s">
        <v>158</v>
      </c>
      <c r="C18" s="13" t="s">
        <v>88</v>
      </c>
      <c r="D18" s="14">
        <v>33.6</v>
      </c>
    </row>
    <row r="19" spans="1:4" x14ac:dyDescent="0.2">
      <c r="B19" s="5" t="s">
        <v>78</v>
      </c>
      <c r="D19" s="5">
        <f>SUM(D2:D18)</f>
        <v>608.87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workbookViewId="0">
      <selection sqref="A1:J1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45" customWidth="1"/>
    <col min="4" max="4" width="42" customWidth="1"/>
    <col min="5" max="5" width="8" customWidth="1"/>
    <col min="6" max="7" width="9" customWidth="1"/>
    <col min="8" max="8" width="11" customWidth="1"/>
    <col min="9" max="9" width="9" customWidth="1"/>
    <col min="10" max="10" width="60" customWidth="1"/>
  </cols>
  <sheetData>
    <row r="1" spans="1:10" ht="17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4" spans="1:10" x14ac:dyDescent="0.2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6" spans="1:10" x14ac:dyDescent="0.2">
      <c r="A6" t="s">
        <v>12</v>
      </c>
      <c r="B6" t="s">
        <v>13</v>
      </c>
      <c r="C6" t="s">
        <v>14</v>
      </c>
      <c r="D6" t="s">
        <v>15</v>
      </c>
      <c r="E6">
        <v>4</v>
      </c>
      <c r="G6" t="s">
        <v>16</v>
      </c>
      <c r="H6">
        <v>61.39</v>
      </c>
      <c r="I6" t="s">
        <v>17</v>
      </c>
      <c r="J6" t="s">
        <v>18</v>
      </c>
    </row>
    <row r="7" spans="1:10" x14ac:dyDescent="0.2">
      <c r="A7" t="s">
        <v>12</v>
      </c>
      <c r="B7" t="s">
        <v>19</v>
      </c>
      <c r="C7" t="s">
        <v>20</v>
      </c>
      <c r="D7" t="s">
        <v>15</v>
      </c>
      <c r="E7">
        <v>1</v>
      </c>
      <c r="G7" t="s">
        <v>16</v>
      </c>
      <c r="H7">
        <v>89.81</v>
      </c>
      <c r="I7" t="s">
        <v>17</v>
      </c>
      <c r="J7" t="s">
        <v>21</v>
      </c>
    </row>
    <row r="8" spans="1:10" x14ac:dyDescent="0.2">
      <c r="A8" t="s">
        <v>12</v>
      </c>
      <c r="B8" t="s">
        <v>22</v>
      </c>
      <c r="C8" t="s">
        <v>23</v>
      </c>
      <c r="D8" t="s">
        <v>15</v>
      </c>
      <c r="E8">
        <v>1</v>
      </c>
      <c r="G8" t="s">
        <v>16</v>
      </c>
      <c r="H8">
        <v>21.36</v>
      </c>
      <c r="I8" t="s">
        <v>17</v>
      </c>
      <c r="J8" t="s">
        <v>21</v>
      </c>
    </row>
    <row r="9" spans="1:10" x14ac:dyDescent="0.2">
      <c r="A9" t="s">
        <v>12</v>
      </c>
      <c r="B9" t="s">
        <v>24</v>
      </c>
      <c r="C9" t="s">
        <v>25</v>
      </c>
      <c r="D9" t="s">
        <v>26</v>
      </c>
      <c r="E9">
        <v>1</v>
      </c>
      <c r="G9" t="s">
        <v>16</v>
      </c>
      <c r="H9">
        <v>40.93</v>
      </c>
      <c r="I9" t="s">
        <v>17</v>
      </c>
      <c r="J9" t="s">
        <v>27</v>
      </c>
    </row>
    <row r="10" spans="1:10" x14ac:dyDescent="0.2">
      <c r="A10" t="s">
        <v>12</v>
      </c>
      <c r="B10" t="s">
        <v>28</v>
      </c>
      <c r="C10" t="s">
        <v>29</v>
      </c>
      <c r="D10" t="s">
        <v>26</v>
      </c>
      <c r="E10">
        <v>2</v>
      </c>
      <c r="G10" t="s">
        <v>16</v>
      </c>
      <c r="H10">
        <v>7.97</v>
      </c>
      <c r="I10" t="s">
        <v>17</v>
      </c>
      <c r="J10" t="s">
        <v>30</v>
      </c>
    </row>
    <row r="11" spans="1:10" x14ac:dyDescent="0.2">
      <c r="A11" t="s">
        <v>12</v>
      </c>
      <c r="B11" t="s">
        <v>28</v>
      </c>
      <c r="C11" t="s">
        <v>31</v>
      </c>
      <c r="D11" t="s">
        <v>26</v>
      </c>
      <c r="E11">
        <v>1</v>
      </c>
      <c r="G11" t="s">
        <v>16</v>
      </c>
      <c r="H11">
        <v>3.5</v>
      </c>
      <c r="I11" t="s">
        <v>17</v>
      </c>
      <c r="J11" t="s">
        <v>32</v>
      </c>
    </row>
    <row r="12" spans="1:10" x14ac:dyDescent="0.2">
      <c r="A12" t="s">
        <v>33</v>
      </c>
      <c r="B12" t="s">
        <v>34</v>
      </c>
      <c r="C12" t="s">
        <v>35</v>
      </c>
      <c r="D12" t="s">
        <v>36</v>
      </c>
      <c r="E12">
        <v>1</v>
      </c>
      <c r="G12" t="s">
        <v>16</v>
      </c>
      <c r="H12">
        <v>46.9</v>
      </c>
      <c r="I12" t="s">
        <v>17</v>
      </c>
      <c r="J12" t="s">
        <v>37</v>
      </c>
    </row>
    <row r="13" spans="1:10" x14ac:dyDescent="0.2">
      <c r="A13" t="s">
        <v>33</v>
      </c>
      <c r="B13" t="s">
        <v>38</v>
      </c>
      <c r="C13" t="s">
        <v>39</v>
      </c>
      <c r="D13" t="s">
        <v>36</v>
      </c>
      <c r="E13">
        <v>1</v>
      </c>
      <c r="G13" t="s">
        <v>16</v>
      </c>
      <c r="H13">
        <v>47</v>
      </c>
      <c r="I13" t="s">
        <v>17</v>
      </c>
      <c r="J13" t="s">
        <v>40</v>
      </c>
    </row>
    <row r="14" spans="1:10" x14ac:dyDescent="0.2">
      <c r="A14" t="s">
        <v>41</v>
      </c>
      <c r="B14" t="s">
        <v>42</v>
      </c>
      <c r="C14" t="s">
        <v>43</v>
      </c>
      <c r="D14" t="s">
        <v>44</v>
      </c>
      <c r="E14">
        <v>2</v>
      </c>
      <c r="G14" t="s">
        <v>16</v>
      </c>
      <c r="H14">
        <v>15.6</v>
      </c>
      <c r="I14" t="s">
        <v>17</v>
      </c>
      <c r="J14" t="s">
        <v>45</v>
      </c>
    </row>
    <row r="15" spans="1:10" x14ac:dyDescent="0.2">
      <c r="A15" t="s">
        <v>41</v>
      </c>
      <c r="B15" t="s">
        <v>42</v>
      </c>
      <c r="C15" t="s">
        <v>46</v>
      </c>
      <c r="D15" t="s">
        <v>47</v>
      </c>
      <c r="E15">
        <v>1</v>
      </c>
      <c r="G15" t="s">
        <v>16</v>
      </c>
      <c r="H15">
        <v>17.8</v>
      </c>
      <c r="I15" t="s">
        <v>17</v>
      </c>
      <c r="J15" t="s">
        <v>48</v>
      </c>
    </row>
    <row r="16" spans="1:10" x14ac:dyDescent="0.2">
      <c r="A16" t="s">
        <v>41</v>
      </c>
      <c r="B16" t="s">
        <v>49</v>
      </c>
      <c r="C16" t="s">
        <v>50</v>
      </c>
      <c r="D16" t="s">
        <v>51</v>
      </c>
      <c r="E16">
        <v>1</v>
      </c>
      <c r="G16" t="s">
        <v>16</v>
      </c>
      <c r="H16">
        <v>29.9</v>
      </c>
      <c r="I16" t="s">
        <v>17</v>
      </c>
      <c r="J16" t="s">
        <v>52</v>
      </c>
    </row>
    <row r="17" spans="1:10" x14ac:dyDescent="0.2">
      <c r="A17" t="s">
        <v>41</v>
      </c>
      <c r="B17" t="s">
        <v>34</v>
      </c>
      <c r="C17" t="s">
        <v>53</v>
      </c>
      <c r="D17" t="s">
        <v>51</v>
      </c>
      <c r="E17">
        <v>2</v>
      </c>
      <c r="G17" t="s">
        <v>16</v>
      </c>
      <c r="H17">
        <v>22.6</v>
      </c>
      <c r="I17" t="s">
        <v>17</v>
      </c>
      <c r="J17" t="s">
        <v>54</v>
      </c>
    </row>
    <row r="18" spans="1:10" x14ac:dyDescent="0.2">
      <c r="A18" t="s">
        <v>41</v>
      </c>
      <c r="B18" t="s">
        <v>55</v>
      </c>
      <c r="C18" t="s">
        <v>56</v>
      </c>
      <c r="D18" t="s">
        <v>57</v>
      </c>
      <c r="E18">
        <v>1</v>
      </c>
      <c r="G18" t="s">
        <v>16</v>
      </c>
      <c r="H18">
        <v>80.400000000000006</v>
      </c>
      <c r="I18" t="s">
        <v>17</v>
      </c>
      <c r="J18" t="s">
        <v>58</v>
      </c>
    </row>
    <row r="19" spans="1:10" x14ac:dyDescent="0.2">
      <c r="A19" t="s">
        <v>59</v>
      </c>
      <c r="B19" t="s">
        <v>60</v>
      </c>
      <c r="C19" t="s">
        <v>61</v>
      </c>
      <c r="D19" t="s">
        <v>62</v>
      </c>
      <c r="E19">
        <v>1</v>
      </c>
      <c r="G19" t="s">
        <v>16</v>
      </c>
      <c r="H19">
        <v>28.4</v>
      </c>
      <c r="I19" t="s">
        <v>17</v>
      </c>
      <c r="J19" t="s">
        <v>63</v>
      </c>
    </row>
    <row r="20" spans="1:10" x14ac:dyDescent="0.2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G20" t="s">
        <v>16</v>
      </c>
      <c r="H20">
        <v>38.049999999999997</v>
      </c>
      <c r="I20" t="s">
        <v>17</v>
      </c>
      <c r="J20" t="s">
        <v>69</v>
      </c>
    </row>
    <row r="21" spans="1:10" x14ac:dyDescent="0.2">
      <c r="A21" t="s">
        <v>70</v>
      </c>
      <c r="B21" t="s">
        <v>22</v>
      </c>
      <c r="C21" t="s">
        <v>71</v>
      </c>
      <c r="D21" t="s">
        <v>72</v>
      </c>
      <c r="E21">
        <v>1</v>
      </c>
      <c r="G21" t="s">
        <v>16</v>
      </c>
      <c r="H21">
        <v>23.66</v>
      </c>
      <c r="I21" t="s">
        <v>17</v>
      </c>
      <c r="J21" t="s">
        <v>73</v>
      </c>
    </row>
    <row r="22" spans="1:10" x14ac:dyDescent="0.2">
      <c r="A22" t="s">
        <v>74</v>
      </c>
      <c r="B22" t="s">
        <v>49</v>
      </c>
      <c r="C22" t="s">
        <v>75</v>
      </c>
      <c r="D22" t="s">
        <v>76</v>
      </c>
      <c r="E22">
        <v>1</v>
      </c>
      <c r="G22" t="s">
        <v>16</v>
      </c>
      <c r="H22">
        <v>33.6</v>
      </c>
      <c r="I22" t="s">
        <v>17</v>
      </c>
      <c r="J22" t="s">
        <v>77</v>
      </c>
    </row>
    <row r="24" spans="1:10" x14ac:dyDescent="0.2">
      <c r="C24" s="5" t="s">
        <v>78</v>
      </c>
      <c r="H24" s="5">
        <f>SUM(H6:H22)</f>
        <v>608.87</v>
      </c>
    </row>
    <row r="26" spans="1:10" x14ac:dyDescent="0.2">
      <c r="A26" s="9" t="s">
        <v>79</v>
      </c>
      <c r="B26" s="9"/>
      <c r="C26" s="9"/>
      <c r="D26" s="9"/>
      <c r="E26" s="9"/>
      <c r="F26" s="9"/>
      <c r="G26" s="9"/>
      <c r="H26" s="9"/>
      <c r="I26" s="9"/>
      <c r="J26" s="9"/>
    </row>
    <row r="28" spans="1:10" x14ac:dyDescent="0.2">
      <c r="A28" s="9" t="s">
        <v>80</v>
      </c>
      <c r="B28" s="9"/>
      <c r="C28" s="9"/>
      <c r="D28" s="9"/>
      <c r="E28" s="9"/>
      <c r="F28" s="9"/>
      <c r="G28" s="9"/>
      <c r="H28" s="9"/>
      <c r="I28" s="9"/>
      <c r="J28" s="9"/>
    </row>
  </sheetData>
  <mergeCells count="4">
    <mergeCell ref="A1:J1"/>
    <mergeCell ref="A28:J28"/>
    <mergeCell ref="A26:J26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Normal="100" workbookViewId="0"/>
  </sheetViews>
  <sheetFormatPr baseColWidth="10" defaultColWidth="8.6640625" defaultRowHeight="15" x14ac:dyDescent="0.2"/>
  <cols>
    <col min="1" max="1" width="14" customWidth="1"/>
    <col min="2" max="2" width="42" customWidth="1"/>
    <col min="3" max="3" width="24" customWidth="1"/>
    <col min="4" max="4" width="16" customWidth="1"/>
    <col min="5" max="5" width="40" customWidth="1"/>
  </cols>
  <sheetData>
    <row r="1" spans="1:5" ht="17.25" customHeight="1" x14ac:dyDescent="0.2">
      <c r="A1" s="11" t="s">
        <v>90</v>
      </c>
      <c r="B1" s="9"/>
      <c r="C1" s="9"/>
      <c r="D1" s="9"/>
      <c r="E1" s="9"/>
    </row>
    <row r="2" spans="1:5" ht="15" customHeight="1" x14ac:dyDescent="0.2">
      <c r="A2" s="10" t="s">
        <v>91</v>
      </c>
      <c r="B2" s="9"/>
      <c r="C2" s="9"/>
      <c r="D2" s="9"/>
      <c r="E2" s="9"/>
    </row>
    <row r="4" spans="1:5" ht="15" customHeight="1" x14ac:dyDescent="0.2">
      <c r="A4" s="1" t="s">
        <v>92</v>
      </c>
      <c r="B4" s="1" t="s">
        <v>4</v>
      </c>
      <c r="C4" s="1" t="s">
        <v>93</v>
      </c>
      <c r="D4" s="1" t="s">
        <v>3</v>
      </c>
      <c r="E4" s="1" t="s">
        <v>11</v>
      </c>
    </row>
    <row r="5" spans="1:5" ht="27.75" customHeight="1" x14ac:dyDescent="0.2">
      <c r="A5" s="2" t="s">
        <v>94</v>
      </c>
      <c r="B5" s="2" t="s">
        <v>95</v>
      </c>
      <c r="C5" s="2" t="s">
        <v>96</v>
      </c>
      <c r="D5" s="2" t="s">
        <v>97</v>
      </c>
      <c r="E5" s="2" t="s">
        <v>98</v>
      </c>
    </row>
    <row r="6" spans="1:5" ht="27.75" customHeight="1" x14ac:dyDescent="0.2">
      <c r="A6" s="2" t="s">
        <v>94</v>
      </c>
      <c r="B6" s="2" t="s">
        <v>99</v>
      </c>
      <c r="C6" s="2" t="s">
        <v>100</v>
      </c>
      <c r="D6" s="2" t="s">
        <v>13</v>
      </c>
      <c r="E6" s="2" t="s">
        <v>98</v>
      </c>
    </row>
    <row r="7" spans="1:5" ht="27.75" customHeight="1" x14ac:dyDescent="0.2"/>
    <row r="8" spans="1:5" ht="27.75" customHeight="1" x14ac:dyDescent="0.2"/>
    <row r="9" spans="1:5" ht="27.75" customHeight="1" x14ac:dyDescent="0.2"/>
    <row r="10" spans="1:5" ht="27.75" customHeight="1" x14ac:dyDescent="0.2"/>
    <row r="11" spans="1:5" ht="27.75" customHeight="1" x14ac:dyDescent="0.2"/>
  </sheetData>
  <mergeCells count="2">
    <mergeCell ref="A2:E2"/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/>
  </sheetViews>
  <sheetFormatPr baseColWidth="10" defaultColWidth="8.83203125" defaultRowHeight="15" x14ac:dyDescent="0.2"/>
  <cols>
    <col min="1" max="1" width="30" customWidth="1"/>
    <col min="2" max="2" width="32" customWidth="1"/>
    <col min="3" max="3" width="16" customWidth="1"/>
    <col min="4" max="4" width="70" customWidth="1"/>
  </cols>
  <sheetData>
    <row r="1" spans="1:4" ht="17" x14ac:dyDescent="0.2">
      <c r="A1" s="3" t="s">
        <v>101</v>
      </c>
    </row>
    <row r="2" spans="1:4" ht="80" x14ac:dyDescent="0.2">
      <c r="A2" s="4" t="s">
        <v>102</v>
      </c>
    </row>
    <row r="4" spans="1:4" x14ac:dyDescent="0.2">
      <c r="A4" s="5" t="s">
        <v>3</v>
      </c>
      <c r="B4" s="5" t="s">
        <v>103</v>
      </c>
      <c r="C4" s="5" t="s">
        <v>104</v>
      </c>
      <c r="D4" s="5" t="s">
        <v>105</v>
      </c>
    </row>
    <row r="5" spans="1:4" ht="32" x14ac:dyDescent="0.2">
      <c r="A5" t="s">
        <v>106</v>
      </c>
      <c r="B5" t="s">
        <v>107</v>
      </c>
      <c r="C5" s="6" t="s">
        <v>108</v>
      </c>
      <c r="D5" s="4" t="s">
        <v>109</v>
      </c>
    </row>
    <row r="6" spans="1:4" ht="16" x14ac:dyDescent="0.2">
      <c r="A6" t="s">
        <v>110</v>
      </c>
      <c r="B6" t="s">
        <v>111</v>
      </c>
      <c r="C6" s="6" t="s">
        <v>108</v>
      </c>
      <c r="D6" s="4" t="s">
        <v>112</v>
      </c>
    </row>
    <row r="7" spans="1:4" ht="32" x14ac:dyDescent="0.2">
      <c r="A7" t="s">
        <v>113</v>
      </c>
      <c r="B7" t="s">
        <v>114</v>
      </c>
      <c r="C7" s="6" t="s">
        <v>108</v>
      </c>
      <c r="D7" s="4" t="s">
        <v>115</v>
      </c>
    </row>
    <row r="8" spans="1:4" ht="32" x14ac:dyDescent="0.2">
      <c r="A8" t="s">
        <v>28</v>
      </c>
      <c r="B8" t="s">
        <v>116</v>
      </c>
      <c r="C8" s="6" t="s">
        <v>108</v>
      </c>
      <c r="D8" s="4" t="s">
        <v>117</v>
      </c>
    </row>
    <row r="9" spans="1:4" ht="32" x14ac:dyDescent="0.2">
      <c r="A9" t="s">
        <v>118</v>
      </c>
      <c r="B9" t="s">
        <v>119</v>
      </c>
      <c r="C9" s="6" t="s">
        <v>108</v>
      </c>
      <c r="D9" s="4" t="s">
        <v>120</v>
      </c>
    </row>
    <row r="10" spans="1:4" ht="32" x14ac:dyDescent="0.2">
      <c r="A10" t="s">
        <v>49</v>
      </c>
      <c r="B10" t="s">
        <v>121</v>
      </c>
      <c r="C10" s="6" t="s">
        <v>108</v>
      </c>
      <c r="D10" s="4" t="s">
        <v>122</v>
      </c>
    </row>
    <row r="11" spans="1:4" ht="32" x14ac:dyDescent="0.2">
      <c r="A11" t="s">
        <v>123</v>
      </c>
      <c r="B11" t="s">
        <v>124</v>
      </c>
      <c r="C11" s="6" t="s">
        <v>108</v>
      </c>
      <c r="D11" s="4" t="s">
        <v>125</v>
      </c>
    </row>
    <row r="12" spans="1:4" ht="32" x14ac:dyDescent="0.2">
      <c r="A12" t="s">
        <v>126</v>
      </c>
      <c r="B12" t="s">
        <v>127</v>
      </c>
      <c r="C12" s="6" t="s">
        <v>108</v>
      </c>
      <c r="D12" s="4" t="s">
        <v>128</v>
      </c>
    </row>
    <row r="13" spans="1:4" ht="16" x14ac:dyDescent="0.2">
      <c r="A13" t="s">
        <v>129</v>
      </c>
      <c r="B13" t="s">
        <v>130</v>
      </c>
      <c r="C13" s="6" t="s">
        <v>108</v>
      </c>
      <c r="D13" s="4" t="s">
        <v>131</v>
      </c>
    </row>
    <row r="14" spans="1:4" ht="16" x14ac:dyDescent="0.2">
      <c r="A14" t="s">
        <v>132</v>
      </c>
      <c r="B14" t="s">
        <v>133</v>
      </c>
      <c r="C14" s="7" t="s">
        <v>134</v>
      </c>
      <c r="D14" s="4" t="s">
        <v>135</v>
      </c>
    </row>
    <row r="15" spans="1:4" ht="32" x14ac:dyDescent="0.2">
      <c r="A15" t="s">
        <v>136</v>
      </c>
      <c r="B15" t="s">
        <v>133</v>
      </c>
      <c r="C15" s="7" t="s">
        <v>134</v>
      </c>
      <c r="D15" s="4" t="s">
        <v>137</v>
      </c>
    </row>
    <row r="16" spans="1:4" ht="16" x14ac:dyDescent="0.2">
      <c r="A16" t="s">
        <v>138</v>
      </c>
      <c r="B16" t="s">
        <v>133</v>
      </c>
      <c r="C16" s="7" t="s">
        <v>134</v>
      </c>
      <c r="D16" s="4" t="s">
        <v>139</v>
      </c>
    </row>
    <row r="17" spans="1:4" ht="16" x14ac:dyDescent="0.2">
      <c r="A17" t="s">
        <v>140</v>
      </c>
      <c r="B17" t="s">
        <v>141</v>
      </c>
      <c r="C17" s="6" t="s">
        <v>108</v>
      </c>
      <c r="D17" s="4" t="s">
        <v>142</v>
      </c>
    </row>
    <row r="18" spans="1:4" ht="32" x14ac:dyDescent="0.2">
      <c r="A18" t="s">
        <v>143</v>
      </c>
      <c r="B18" t="s">
        <v>144</v>
      </c>
      <c r="C18" s="6" t="s">
        <v>108</v>
      </c>
      <c r="D18" s="4" t="s">
        <v>145</v>
      </c>
    </row>
    <row r="19" spans="1:4" ht="16" x14ac:dyDescent="0.2">
      <c r="A19" t="s">
        <v>146</v>
      </c>
      <c r="B19" t="s">
        <v>147</v>
      </c>
      <c r="C19" s="7" t="s">
        <v>134</v>
      </c>
      <c r="D19" s="4" t="s">
        <v>148</v>
      </c>
    </row>
    <row r="20" spans="1:4" ht="48" x14ac:dyDescent="0.2">
      <c r="A20" t="s">
        <v>149</v>
      </c>
      <c r="B20" t="s">
        <v>150</v>
      </c>
      <c r="C20" s="6" t="s">
        <v>108</v>
      </c>
      <c r="D20" s="4" t="s">
        <v>151</v>
      </c>
    </row>
    <row r="21" spans="1:4" x14ac:dyDescent="0.2">
      <c r="A21" t="s">
        <v>152</v>
      </c>
      <c r="B21" t="s">
        <v>153</v>
      </c>
      <c r="C21" s="6" t="s">
        <v>108</v>
      </c>
      <c r="D21" t="s">
        <v>154</v>
      </c>
    </row>
    <row r="22" spans="1:4" x14ac:dyDescent="0.2">
      <c r="A22" s="5" t="s">
        <v>155</v>
      </c>
    </row>
    <row r="23" spans="1:4" x14ac:dyDescent="0.2">
      <c r="A23" s="12" t="s">
        <v>156</v>
      </c>
      <c r="B23" s="9"/>
      <c r="C23" s="9"/>
      <c r="D23" s="9"/>
    </row>
  </sheetData>
  <mergeCells count="1"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Materialliste kompakt</vt:lpstr>
      <vt:lpstr>Materialliste</vt:lpstr>
      <vt:lpstr>Vorgeschlagene Komponenten</vt:lpstr>
      <vt:lpstr>Vollständigkeitspruefung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Schlatter</cp:lastModifiedBy>
  <cp:revision>0</cp:revision>
  <dcterms:created xsi:type="dcterms:W3CDTF">2026-09-06T15:54:07Z</dcterms:created>
  <dcterms:modified xsi:type="dcterms:W3CDTF">2026-09-06T16:51:17Z</dcterms:modified>
  <dc:language>en-US</dc:language>
</cp:coreProperties>
</file>